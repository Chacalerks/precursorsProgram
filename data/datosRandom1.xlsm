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data\"/>
    </mc:Choice>
  </mc:AlternateContent>
  <xr:revisionPtr revIDLastSave="0" documentId="13_ncr:1_{A6B055E2-80D2-4356-B0C2-20AEB7BE14C0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L23" i="1" l="1"/>
  <c r="K23" i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<sst xmlns="http://schemas.openxmlformats.org/spreadsheetml/2006/main" count="160" uniqueCount="109">
  <si>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</si>
  <si>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</si>
  <si>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</si>
  <si>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</si>
  <si>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</si>
  <si>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</si>
  <si>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</si>
  <si>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</si>
  <si>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</si>
  <si>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</si>
  <si>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</si>
  <si>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</si>
  <si>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</si>
  <si>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</si>
  <si>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</si>
  <si>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</si>
  <si>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</si>
  <si>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</si>
  <si>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</si>
  <si>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</si>
  <si>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</si>
  <si>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</si>
  <si>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</si>
  <si>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</si>
  <si>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</si>
  <si>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</si>
  <si>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</si>
  <si>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</si>
  <si>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</si>
  <si>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</si>
  <si>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</si>
  <si>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</si>
  <si>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</si>
  <si>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</si>
  <si>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</si>
  <si>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</si>
  <si>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</si>
  <si>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</si>
  <si>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</si>
  <si>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</si>
  <si>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</si>
  <si>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</si>
  <si>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</si>
  <si>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</si>
  <si>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</si>
  <si>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</si>
  <si>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</si>
  <si>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</si>
  <si>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</si>
  <si>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</si>
  <si>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</si>
  <si>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</si>
  <si>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</si>
  <si>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</si>
  <si>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</si>
  <si>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</si>
  <si>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</si>
  <si>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</si>
  <si>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</si>
  <si>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</si>
  <si>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</si>
  <si>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</si>
  <si>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</si>
  <si>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</si>
  <si>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</si>
  <si>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</si>
  <si>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</si>
  <si>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</si>
  <si>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</si>
  <si>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</si>
  <si>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</si>
  <si>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</si>
  <si>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</si>
  <si>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</si>
  <si>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</si>
  <si>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</si>
  <si>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</si>
  <si>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</si>
  <si>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</si>
  <si>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</si>
  <si>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</si>
  <si>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</si>
  <si>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</si>
  <si>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</si>
  <si>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</si>
  <si>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</si>
  <si>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</si>
  <si>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</si>
  <si>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</si>
  <si>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</si>
  <si>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</si>
  <si>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</si>
  <si>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</si>
  <si>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</si>
  <si>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</si>
  <si>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</si>
  <si>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</si>
  <si>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</si>
  <si>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</si>
  <si>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</si>
  <si>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</si>
  <si>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</si>
  <si>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</si>
  <si>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</si>
  <si>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</si>
  <si>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Se usó para crear guaro</t>
  </si>
  <si>
    <t>Manito Matinez</t>
  </si>
  <si>
    <t>erksmartinez2014@gmail.com</t>
  </si>
  <si>
    <t>60127974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</si>
</sst>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49" fontId="8" fillId="0" borderId="1" xfId="1" applyNumberForma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erksmartinez2014@gmail.com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N26"/>
  <sheetViews>
    <sheetView tabSelected="1" workbookViewId="0">
      <selection activeCell="C6" sqref="C6:M6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3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3" ht="38.25" customHeight="1">
      <c r="B2" s="24" t="e" vm="1">
        <v>#VALUE!</v>
      </c>
      <c r="C2" s="25"/>
      <c r="D2" s="26"/>
      <c r="E2" s="27" t="s">
        <v>0</v>
      </c>
      <c r="F2" s="28"/>
      <c r="G2" s="28"/>
      <c r="H2" s="28"/>
      <c r="I2" s="28"/>
      <c r="J2" s="28"/>
      <c r="K2" s="29"/>
      <c r="L2" s="30" t="s">
        <v>32</v>
      </c>
      <c r="M2" s="31"/>
    </row>
    <row r="3" spans="2:13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3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3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3">
      <c r="B6" s="1" t="s">
        <v>1</v>
      </c>
      <c r="C6" s="16" t="s">
        <v>40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3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3">
      <c r="B8" s="1" t="s">
        <v>3</v>
      </c>
      <c r="C8" s="23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>
      <c r="B10" s="4"/>
      <c r="C10" s="5"/>
      <c r="D10" s="5"/>
    </row>
    <row r="11" spans="2:13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3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3">
      <c r="B13" s="8" t="s">
        <v>18</v>
      </c>
      <c r="C13" s="9" t="s">
        <v>91</v>
      </c>
      <c r="D13" s="10">
        <v>2.35</v>
      </c>
      <c r="E13" s="10">
        <v>2</v>
      </c>
      <c r="F13" s="10">
        <v>1.08</v>
      </c>
      <c r="G13" s="10">
        <f t="shared" ref="G13" si="0">IF(C13="L",E13*F13,(IF(C13="kg",E13*1,"-")))</f>
        <v>2.16</v>
      </c>
      <c r="H13" s="9">
        <v>156543</v>
      </c>
      <c r="I13" s="10">
        <v>0</v>
      </c>
      <c r="J13" s="10">
        <f>IF(C13="L",I13*F13,(IF(C13="kg",I13*1,"-")))</f>
        <v>0</v>
      </c>
      <c r="K13" s="11">
        <f>D13+E13-I13</f>
        <v>4.3499999999999996</v>
      </c>
      <c r="L13" s="11">
        <f>IF(C13="L",K13*F13,(IF(C13="kg",K13*1,"-")))</f>
        <v>4.6979999999999995</v>
      </c>
      <c r="M13" s="9" t="s">
        <v>19</v>
      </c>
    </row>
    <row r="14" spans="2:13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3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3">
      <c r="B16" s="12" t="s">
        <v>22</v>
      </c>
      <c r="C16" s="9" t="s">
        <v>91</v>
      </c>
      <c r="D16" s="10">
        <v>19.134999999999998</v>
      </c>
      <c r="E16" s="10">
        <v>3</v>
      </c>
      <c r="F16" s="10">
        <v>0.79</v>
      </c>
      <c r="G16" s="10">
        <f t="shared" ref="G16:G23" si="1">IF(C16="L",E16*F16,(IF(C16="kg",E16*1,"-")))</f>
        <v>2.37</v>
      </c>
      <c r="H16" s="9">
        <v>15643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17.486650000000001</v>
      </c>
      <c r="M16" s="9" t="s">
        <v>19</v>
      </c>
    </row>
    <row r="17" spans="2:13">
      <c r="B17" s="12" t="s">
        <v>23</v>
      </c>
      <c r="C17" s="9" t="s">
        <v>91</v>
      </c>
      <c r="D17" s="10">
        <v>0.22499999999999967</v>
      </c>
      <c r="E17" s="10">
        <v>3</v>
      </c>
      <c r="F17" s="10">
        <v>1.18</v>
      </c>
      <c r="G17" s="10">
        <f t="shared" si="1"/>
        <v>3.54</v>
      </c>
      <c r="H17" s="9">
        <v>15641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91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28.939520000000002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8</v>
      </c>
      <c r="E20" s="10">
        <v>1</v>
      </c>
      <c r="F20" s="10">
        <v>0.71</v>
      </c>
      <c r="G20" s="10">
        <f t="shared" si="1"/>
        <v>0.71</v>
      </c>
      <c r="H20" s="9">
        <v>41425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19</v>
      </c>
      <c r="D22" s="13">
        <v>0</v>
      </c>
      <c r="E22" s="10">
        <v>0</v>
      </c>
      <c r="F22" s="10">
        <v>0.87</v>
      </c>
      <c r="G22" s="10" t="str">
        <f t="shared" si="1"/>
        <v>-</v>
      </c>
      <c r="H22" s="9" t="s">
        <v>19</v>
      </c>
      <c r="I22" s="10">
        <v>0</v>
      </c>
      <c r="J22" s="10" t="str">
        <f t="shared" si="2"/>
        <v>-</v>
      </c>
      <c r="K22" s="11">
        <f t="shared" si="4"/>
        <v>0</v>
      </c>
      <c r="L22" s="11" t="str">
        <f t="shared" si="3"/>
        <v>-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1049.2400000000002</v>
      </c>
      <c r="E25" s="10">
        <v>0</v>
      </c>
      <c r="F25" s="10">
        <v>0.78900000000000003</v>
      </c>
      <c r="G25" s="10">
        <f t="shared" ref="G25" si="5">IF(C25="L",E25*F25,(IF(C25="kg",E25*1,"-")))</f>
        <v>0</v>
      </c>
      <c r="H25" s="9" t="s">
        <v>19</v>
      </c>
      <c r="I25" s="10">
        <v>80</v>
      </c>
      <c r="J25" s="10">
        <f t="shared" ref="J25" si="6">IF(C25="L",I25*F25,(IF(C25="kg",I25*1,"-")))</f>
        <v>63.120000000000005</v>
      </c>
      <c r="K25" s="11">
        <f t="shared" ref="K25" si="7">D25+E25-I25</f>
        <v>969.24000000000024</v>
      </c>
      <c r="L25" s="11">
        <f t="shared" ref="L25" si="8">IF(C25="L",K25*F25,(IF(C25="kg",K25*1,"-")))</f>
        <v>764.73036000000025</v>
      </c>
      <c r="M25" s="14" t="s">
        <v>105</v>
      </c>
    </row>
    <row r="26" spans="2:13"/>
  </sheetData>
  <sheetProtection algorithmName="SHA-512" hashValue="SlQUR4NqtWWetTUwVeM4UA2k9f5HTUwwia+lKHI4KrKtpPbLrhItyULfqR4z6e3aLSAqzRxgq1VUXCIvqtf+Ig==" saltValue="5pO6raUyFBaoASGx2P7GiA==" spinCount="100000" sheet="1" formatCells="0" formatColumns="0" formatRows="0" insertColumns="0" insertRows="0" insertHyperlinks="0" deleteColumns="0" deleteRows="0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hyperlinks>
    <hyperlink ref="C8" r:id="rId1" xr:uid="{BE931571-35B9-46B3-ADEE-4AAE82DE55A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2024-05-06T12:07:22Z</dcterms:modified>
</cp:coreProperties>
</file>