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src\"/>
    </mc:Choice>
  </mc:AlternateContent>
  <xr:revisionPtr revIDLastSave="0" documentId="13_ncr:1_{8EA0B910-FDCD-4F74-8A01-D04D8149DFEA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K23" i="1" l="1"/>
  <c r="L23" i="1" s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<sst xmlns="http://schemas.openxmlformats.org/spreadsheetml/2006/main" count="165" uniqueCount="112">
  <si>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</si>
  <si>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</si>
  <si>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</si>
  <si>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</si>
  <si>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</si>
  <si>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</si>
  <si>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</si>
  <si>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</si>
  <si>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</si>
  <si>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</si>
  <si>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</si>
  <si>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</si>
  <si>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</si>
  <si>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</si>
  <si>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</si>
  <si>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</si>
  <si>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</si>
  <si>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</si>
  <si>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</si>
  <si>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</si>
  <si>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</si>
  <si>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</si>
  <si>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</si>
  <si>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</si>
  <si>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</si>
  <si>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</si>
  <si>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</si>
  <si>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</si>
  <si>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</si>
  <si>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</si>
  <si>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</si>
  <si>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</si>
  <si>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</si>
  <si>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</si>
  <si>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</si>
  <si>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</si>
  <si>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</si>
  <si>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</si>
  <si>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</si>
  <si>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</si>
  <si>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</si>
  <si>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</si>
  <si>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</si>
  <si>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</si>
  <si>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</si>
  <si>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</si>
  <si>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</si>
  <si>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</si>
  <si>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</si>
  <si>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</si>
  <si>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</si>
  <si>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</si>
  <si>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</si>
  <si>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</si>
  <si>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</si>
  <si>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</si>
  <si>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</si>
  <si>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</si>
  <si>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</si>
  <si>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</si>
  <si>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</si>
  <si>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</si>
  <si>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</si>
  <si>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</si>
  <si>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</si>
  <si>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</si>
  <si>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</si>
  <si>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</si>
  <si>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</si>
  <si>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</si>
  <si>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</si>
  <si>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</si>
  <si>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</si>
  <si>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</si>
  <si>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</si>
  <si>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</si>
  <si>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</si>
  <si>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</si>
  <si>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</si>
  <si>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</si>
  <si>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</si>
  <si>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</si>
  <si>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</si>
  <si>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</si>
  <si>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</si>
  <si>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</si>
  <si>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</si>
  <si>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</si>
  <si>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</si>
  <si>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</si>
  <si>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</si>
  <si>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</si>
  <si>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</si>
  <si>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</si>
  <si>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</si>
  <si>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</si>
  <si>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</si>
  <si>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</si>
  <si>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</si>
  <si>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</si>
  <si>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</si>
  <si>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</si>
  <si>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</si>
  <si>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</si>
  <si>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</si>
  <si>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Modificado</t>
  </si>
  <si>
    <t>Taylor Swift</t>
  </si>
  <si>
    <t>taylorswift@gmail.com</t>
  </si>
  <si>
    <t>1234-5678</t>
  </si>
  <si>
    <t># 321567324</t>
  </si>
  <si>
    <t># 5687894</t>
  </si>
  <si>
    <t>Se usó para crear más guaro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</si>
</sst>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O26"/>
  <sheetViews>
    <sheetView tabSelected="1" workbookViewId="0">
      <selection activeCell="M25" sqref="M25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5" ht="38.25" customHeight="1">
      <c r="B2" s="23" t="e" vm="1">
        <v>#VALUE!</v>
      </c>
      <c r="C2" s="24"/>
      <c r="D2" s="25"/>
      <c r="E2" s="26" t="s">
        <v>0</v>
      </c>
      <c r="F2" s="27"/>
      <c r="G2" s="27"/>
      <c r="H2" s="27"/>
      <c r="I2" s="27"/>
      <c r="J2" s="27"/>
      <c r="K2" s="28"/>
      <c r="L2" s="29" t="s">
        <v>32</v>
      </c>
      <c r="M2" s="30"/>
      <c r="O2" t="s">
        <v>105</v>
      </c>
    </row>
    <row r="3" spans="2:1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5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5">
      <c r="B5" s="1" t="s">
        <v>89</v>
      </c>
      <c r="C5" s="16" t="s">
        <v>97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5">
      <c r="B6" s="1" t="s">
        <v>1</v>
      </c>
      <c r="C6" s="16" t="s">
        <v>33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5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5">
      <c r="B8" s="1" t="s">
        <v>3</v>
      </c>
      <c r="C8" s="16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5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5">
      <c r="B10" s="4"/>
      <c r="C10" s="5"/>
      <c r="D10" s="5"/>
    </row>
    <row r="11" spans="2:15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5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5">
      <c r="B13" s="8" t="s">
        <v>18</v>
      </c>
      <c r="C13" s="9" t="s">
        <v>92</v>
      </c>
      <c r="D13" s="10">
        <v>4.3499999999999996</v>
      </c>
      <c r="E13" s="10">
        <v>3</v>
      </c>
      <c r="F13" s="10">
        <v>1.08</v>
      </c>
      <c r="G13" s="10">
        <f t="shared" ref="G13" si="0">IF(C13="L",E13*F13,(IF(C13="kg",E13*1,"-")))</f>
        <v>3</v>
      </c>
      <c r="H13" s="9" t="s">
        <v>109</v>
      </c>
      <c r="I13" s="10">
        <v>0</v>
      </c>
      <c r="J13" s="10">
        <f>IF(C13="L",I13*F13,(IF(C13="kg",I13*1,"-")))</f>
        <v>0</v>
      </c>
      <c r="K13" s="11">
        <f>D13+E13-I13</f>
        <v>7.35</v>
      </c>
      <c r="L13" s="11">
        <f>IF(C13="L",K13*F13,(IF(C13="kg",K13*1,"-")))</f>
        <v>7.35</v>
      </c>
      <c r="M13" s="9" t="s">
        <v>19</v>
      </c>
    </row>
    <row r="14" spans="2:15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5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5">
      <c r="B16" s="12" t="s">
        <v>22</v>
      </c>
      <c r="C16" s="9" t="s">
        <v>92</v>
      </c>
      <c r="D16" s="10">
        <v>22.134999999999998</v>
      </c>
      <c r="E16" s="10">
        <v>0</v>
      </c>
      <c r="F16" s="10">
        <v>0.79</v>
      </c>
      <c r="G16" s="10">
        <f t="shared" ref="G16:G23" si="1">IF(C16="L",E16*F16,(IF(C16="kg",E16*1,"-")))</f>
        <v>0</v>
      </c>
      <c r="H16" s="9" t="s">
        <v>19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22.134999999999998</v>
      </c>
      <c r="M16" s="9" t="s">
        <v>19</v>
      </c>
    </row>
    <row r="17" spans="2:13">
      <c r="B17" s="12" t="s">
        <v>23</v>
      </c>
      <c r="C17" s="9" t="s">
        <v>91</v>
      </c>
      <c r="D17" s="10">
        <v>3.2249999999999996</v>
      </c>
      <c r="E17" s="10">
        <v>0</v>
      </c>
      <c r="F17" s="10">
        <v>1.18</v>
      </c>
      <c r="G17" s="10">
        <f t="shared" si="1"/>
        <v>0</v>
      </c>
      <c r="H17" s="9" t="s">
        <v>19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9" t="s">
        <v>92</v>
      </c>
      <c r="D18" s="1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15.728</v>
      </c>
      <c r="M18" s="9" t="s">
        <v>19</v>
      </c>
    </row>
    <row r="19" spans="2:13">
      <c r="B19" s="8" t="s">
        <v>25</v>
      </c>
      <c r="C19" s="9" t="s">
        <v>91</v>
      </c>
      <c r="D19" s="1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9" t="s">
        <v>91</v>
      </c>
      <c r="D20" s="13">
        <v>9</v>
      </c>
      <c r="E20" s="10">
        <v>0</v>
      </c>
      <c r="F20" s="10">
        <v>0.71</v>
      </c>
      <c r="G20" s="10">
        <f t="shared" si="1"/>
        <v>0</v>
      </c>
      <c r="H20" s="9" t="s">
        <v>19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91</v>
      </c>
      <c r="D22" s="13">
        <v>8</v>
      </c>
      <c r="E22" s="10">
        <v>0</v>
      </c>
      <c r="F22" s="10">
        <v>0.87</v>
      </c>
      <c r="G22" s="10">
        <f t="shared" si="1"/>
        <v>0</v>
      </c>
      <c r="H22" s="9" t="s">
        <v>19</v>
      </c>
      <c r="I22" s="10">
        <v>0</v>
      </c>
      <c r="J22" s="10">
        <f t="shared" si="2"/>
        <v>0</v>
      </c>
      <c r="K22" s="11">
        <f t="shared" si="4"/>
        <v>8</v>
      </c>
      <c r="L22" s="11">
        <f t="shared" si="3"/>
        <v>6.96</v>
      </c>
      <c r="M22" s="9" t="s">
        <v>19</v>
      </c>
    </row>
    <row r="23" spans="2:13">
      <c r="B23" s="8" t="s">
        <v>31</v>
      </c>
      <c r="C23" s="9" t="s">
        <v>91</v>
      </c>
      <c r="D23" s="1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13">
        <v>969.24000000000024</v>
      </c>
      <c r="E25" s="10">
        <v>20</v>
      </c>
      <c r="F25" s="10">
        <v>0.78900000000000003</v>
      </c>
      <c r="G25" s="10">
        <f t="shared" ref="G25" si="5">IF(C25="L",E25*F25,(IF(C25="kg",E25*1,"-")))</f>
        <v>15.780000000000001</v>
      </c>
      <c r="H25" s="9" t="s">
        <v>110</v>
      </c>
      <c r="I25" s="10">
        <v>18</v>
      </c>
      <c r="J25" s="10">
        <f t="shared" ref="J25" si="6">IF(C25="L",I25*F25,(IF(C25="kg",I25*1,"-")))</f>
        <v>14.202</v>
      </c>
      <c r="K25" s="11">
        <f t="shared" ref="K25" si="7">D25+E25-I25</f>
        <v>971.24000000000024</v>
      </c>
      <c r="L25" s="11">
        <f t="shared" ref="L25" si="8">IF(C25="L",K25*F25,(IF(C25="kg",K25*1,"-")))</f>
        <v>766.30836000000022</v>
      </c>
      <c r="M25" s="14" t="s">
        <v>111</v>
      </c>
    </row>
    <row r="26" spans="2:13"/>
  </sheetData>
  <sheetProtection algorithmName="SHA-512" hashValue="docnQNayTVafpZlS8JT5rL+I7ae3hYTVaZM8CYFnRtfqyLj6Oy6aEkcGr+eIC7/fzXCFQ0o63PjAQf7NshlxLA==" saltValue="DGVWl9Rr9I2atd5XoqlQaw==" spinCount="100000" sheet="1" objects="1" scenarios="1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2024-05-06T01:07:51Z</dcterms:modified>
</cp:coreProperties>
</file>