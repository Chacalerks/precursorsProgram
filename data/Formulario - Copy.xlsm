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EC\VII SEMESTRE\GASEL\Control de Precursores\precursorsProgram\src\"/>
    </mc:Choice>
  </mc:AlternateContent>
  <xr:revisionPtr revIDLastSave="0" documentId="13_ncr:1_{237293D9-7A33-475A-8D83-EFD9B0D316BA}" xr6:coauthVersionLast="47" xr6:coauthVersionMax="47" xr10:uidLastSave="{00000000-0000-0000-0000-000000000000}"/>
  <workbookProtection workbookAlgorithmName="SHA-512" workbookHashValue="Z2anNKs4hkHm1SfI6PPFp0siQ3jZvJhIh18qeS6upKGnBQ/28eXAodNUa1nwmfmYTa55P2JRa4HSrqsYTxvXbg==" workbookSaltValue="FBvoGAYOaL+orqTNgn6vtw==" workbookSpinCount="100000" lockStructure="1"/>
  <bookViews>
    <workbookView xWindow="-120" yWindow="-120" windowWidth="29040" windowHeight="15840" xr2:uid="{80E89668-AE75-4233-BBEB-DD4D2CB57B5E}"/>
  </bookViews>
  <sheets>
    <sheet name="Formulario" sheetId="1" r:id="rId1"/>
    <sheet name="Unity" sheetId="5" state="hidden" r:id="rId2"/>
    <sheet name="years" sheetId="3" state="hidden" r:id="rId3"/>
    <sheet name="months" sheetId="4" state="hidden" r:id="rId4"/>
    <sheet name="labs" sheetId="2" state="hidden" r:id="rId5"/>
  </sheets>
  <definedNames>
    <definedName name="ExternalData_1" localSheetId="4" hidden="1">labs!$A$1:$AB$2</definedName>
    <definedName name="ExternalData_1" localSheetId="2" hidden="1">years!$A$1:$H$2</definedName>
    <definedName name="ExternalData_2" localSheetId="3" hidden="1">months!$A$1:$L$2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7" i="1" l="1"/>
  <c r="K16" i="1"/>
  <c r="K14" i="1"/>
  <c r="K13" i="1"/>
  <c r="G13" i="1"/>
  <c r="G21" i="1"/>
  <c r="J21" i="1"/>
  <c r="K21" i="1"/>
  <c r="L21" i="1"/>
  <c r="L23" i="1" l="1"/>
  <c r="K23" i="1"/>
  <c r="J23" i="1"/>
  <c r="G23" i="1"/>
  <c r="L25" i="1"/>
  <c r="K25" i="1"/>
  <c r="J25" i="1"/>
  <c r="G25" i="1"/>
  <c r="K22" i="1"/>
  <c r="L22" i="1" s="1"/>
  <c r="J22" i="1"/>
  <c r="G22" i="1"/>
  <c r="L20" i="1"/>
  <c r="K20" i="1"/>
  <c r="J20" i="1"/>
  <c r="G20" i="1"/>
  <c r="L19" i="1"/>
  <c r="K19" i="1"/>
  <c r="J19" i="1"/>
  <c r="G19" i="1"/>
  <c r="L18" i="1"/>
  <c r="K18" i="1"/>
  <c r="J18" i="1"/>
  <c r="G18" i="1"/>
  <c r="L17" i="1"/>
  <c r="J17" i="1"/>
  <c r="G17" i="1"/>
  <c r="L16" i="1"/>
  <c r="J16" i="1"/>
  <c r="G16" i="1"/>
  <c r="L14" i="1"/>
  <c r="J14" i="1"/>
  <c r="G14" i="1"/>
  <c r="L13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A8492B-2A7F-4BFB-AB6C-78321EFAC163}" keepAlive="1" name="Query - labs" description="Connection to the 'labs' query in the workbook." type="5" refreshedVersion="8" background="1" saveData="1">
    <dbPr connection="Provider=Microsoft.Mashup.OleDb.1;Data Source=$Workbook$;Location=labs;Extended Properties=&quot;&quot;" command="SELECT * FROM [labs]"/>
  </connection>
  <connection id="2" xr16:uid="{583FB4DA-C80D-4367-A227-55B22758729D}" keepAlive="1" name="Query - moths" description="Connection to the 'moths' query in the workbook." type="5" refreshedVersion="8" background="1" saveData="1">
    <dbPr connection="Provider=Microsoft.Mashup.OleDb.1;Data Source=$Workbook$;Location=moths;Extended Properties=&quot;&quot;" command="SELECT * FROM [moths]"/>
  </connection>
  <connection id="3" xr16:uid="{66718550-2A8F-4AB6-B605-0824B1A32F2D}" keepAlive="1" name="Query - years" description="Connection to the 'years' query in the workbook." type="5" refreshedVersion="8" background="1" saveData="1">
    <dbPr connection="Provider=Microsoft.Mashup.OleDb.1;Data Source=$Workbook$;Location=years;Extended Properties=&quot;&quot;" command="SELECT * FROM [year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<sst xmlns="http://schemas.openxmlformats.org/spreadsheetml/2006/main" count="159" uniqueCount="105">
  <si>
    <t>Reporte de movimiento de precursores</t>
  </si>
  <si>
    <t xml:space="preserve">Instancia: </t>
  </si>
  <si>
    <t>Nombre de responsable:</t>
  </si>
  <si>
    <t xml:space="preserve">Correo electrónico: </t>
  </si>
  <si>
    <t xml:space="preserve">Teléfono: </t>
  </si>
  <si>
    <t>Sustancia</t>
  </si>
  <si>
    <t>Unidades</t>
  </si>
  <si>
    <t>Saldo reporte anterior</t>
  </si>
  <si>
    <t>Ingresos período</t>
  </si>
  <si>
    <t>Densidad (g/mL)</t>
  </si>
  <si>
    <t>Ingreso período (kg)</t>
  </si>
  <si>
    <t># solicitud de bienes</t>
  </si>
  <si>
    <t>Despacho o gasto</t>
  </si>
  <si>
    <t>Despacho período (kg)</t>
  </si>
  <si>
    <t>Existencias al final del período</t>
  </si>
  <si>
    <t>Existencias final período (kg)</t>
  </si>
  <si>
    <t>Uso dado a la sustancia</t>
  </si>
  <si>
    <t>Lista 1</t>
  </si>
  <si>
    <t>Anhídrido acético</t>
  </si>
  <si>
    <t>-</t>
  </si>
  <si>
    <t>Permanganato de potasio</t>
  </si>
  <si>
    <t>Lista 2</t>
  </si>
  <si>
    <t>Acetona</t>
  </si>
  <si>
    <t>Ácido clorhídrico</t>
  </si>
  <si>
    <t>Ácido sulfúrico</t>
  </si>
  <si>
    <t>Alcohol isopropílico-IPA</t>
  </si>
  <si>
    <t>Éter etílico/dietilico</t>
  </si>
  <si>
    <t>Metil etil cetona</t>
  </si>
  <si>
    <t>Tolueno</t>
  </si>
  <si>
    <t>Lista 3</t>
  </si>
  <si>
    <t>Alcohol etílico</t>
  </si>
  <si>
    <t>Metanol</t>
  </si>
  <si>
    <t>Código: F-02-RQ-TEC
Versión: 04
Fecha: 13-04-2024</t>
  </si>
  <si>
    <t>Laboratorio de Microbiología - CEQIATEC</t>
  </si>
  <si>
    <t>CEQIATEC</t>
  </si>
  <si>
    <t>CIPA</t>
  </si>
  <si>
    <t>Planta Piloto Agroindustrial</t>
  </si>
  <si>
    <t>Escuela de Ciencias Naturales y Exactas</t>
  </si>
  <si>
    <t>Herbario-Forestal</t>
  </si>
  <si>
    <t>Proyecto contaminantes emergentes</t>
  </si>
  <si>
    <t>Ingeniería ambiental</t>
  </si>
  <si>
    <t>Escuela de Biología docencia (B401 y B402)</t>
  </si>
  <si>
    <t>Laboratorio de Biología Molecular (CNyE)</t>
  </si>
  <si>
    <t>Laboratorio de Biotecnología de Plantas (Agronomía)</t>
  </si>
  <si>
    <t>Centro de Investigación en Biotecnología (CIB)</t>
  </si>
  <si>
    <t>Laboratorio CIVCO - Construcción</t>
  </si>
  <si>
    <t>Escuela de Biología docencia (G7)</t>
  </si>
  <si>
    <t>Escuela de Química Docencia</t>
  </si>
  <si>
    <t>Laboratorio de Higiene Analítica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</si>
  <si>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</si>
  <si>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</si>
  <si>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</si>
  <si>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</si>
  <si>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</si>
  <si>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</si>
  <si>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</si>
  <si>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</si>
  <si>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</si>
  <si>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</si>
  <si>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</si>
  <si>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</si>
  <si>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</si>
  <si>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</si>
  <si>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</si>
  <si>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</si>
  <si>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</si>
  <si>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</si>
  <si>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</si>
  <si>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</si>
  <si>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</si>
  <si>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</si>
  <si>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</si>
  <si>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</si>
  <si>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</si>
  <si>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</si>
  <si>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</si>
  <si>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</si>
  <si>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Laboratorio Análisis Agronómicos</t>
  </si>
  <si>
    <t>Escuela de ciencia e ingeniería de los materiales</t>
  </si>
  <si>
    <t>Laboratorio Institucional de Microscopía</t>
  </si>
  <si>
    <t>Ricardo Starbird- Proyectos de investigación</t>
  </si>
  <si>
    <t>Ernesto Montero-Escuela de Física</t>
  </si>
  <si>
    <t>Virginia Montero- Escuela de Química</t>
  </si>
  <si>
    <t>Federico Masís-Hidrología de suelos</t>
  </si>
  <si>
    <t>Producción industrial San Carlos</t>
  </si>
  <si>
    <t>Centro académico de Alajuela</t>
  </si>
  <si>
    <t>Laboratorio de Patología Forestal</t>
  </si>
  <si>
    <t>Laboratorio de Genética y Molecular</t>
  </si>
  <si>
    <t>Laboratorio de Química de la Madera-Forestal</t>
  </si>
  <si>
    <t>Mes a reportar:</t>
  </si>
  <si>
    <t>Enero</t>
  </si>
  <si>
    <t>L</t>
  </si>
  <si>
    <t>KG</t>
  </si>
  <si>
    <t>Año: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</si>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</sst>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2"/>
      <color theme="0"/>
      <name val="Arial Unicode MS"/>
      <family val="2"/>
    </font>
    <font>
      <b/>
      <sz val="12"/>
      <name val="Arial Unicode MS"/>
      <family val="2"/>
    </font>
    <font>
      <b/>
      <sz val="10"/>
      <name val="Humanst521 BT"/>
      <family val="2"/>
    </font>
    <font>
      <sz val="9"/>
      <name val="Arial"/>
      <family val="2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4" xfId="0" applyFont="1" applyFill="1" applyBorder="1" applyAlignment="1">
      <alignment horizontal="left" wrapText="1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2" fontId="0" fillId="0" borderId="5" xfId="0" applyNumberForma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1">
    <cellStyle name="Normal" xfId="0" builtinId="0"/>
  </cellStyles>
  <dxfs count="4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8D3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209550</xdr:rowOff>
    </xdr:from>
    <xdr:to>
      <xdr:col>1</xdr:col>
      <xdr:colOff>114300</xdr:colOff>
      <xdr:row>10</xdr:row>
      <xdr:rowOff>466725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1950"/>
          <a:ext cx="0" cy="771525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171451</xdr:colOff>
      <xdr:row>1</xdr:row>
      <xdr:rowOff>161925</xdr:rowOff>
    </xdr:from>
    <xdr:to>
      <xdr:col>2</xdr:col>
      <xdr:colOff>171451</xdr:colOff>
      <xdr:row>11</xdr:row>
      <xdr:rowOff>48764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1" y="314325"/>
          <a:ext cx="0" cy="9250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Saldo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EE88397-1B8C-4BF0-97E4-6BAC63D3B231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336DA49D-F6CC-418B-962F-FA2891A882E8}" autoFormatId="16" applyNumberFormats="0" applyBorderFormats="0" applyFontFormats="0" applyPatternFormats="0" applyAlignmentFormats="0" applyWidthHeightFormats="0">
  <queryTableRefresh nextId="13">
    <queryTableFields count="1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6049A3B-200E-4407-9EE5-FFCFA83170C2}" autoFormatId="16" applyNumberFormats="0" applyBorderFormats="0" applyFontFormats="0" applyPatternFormats="0" applyAlignmentFormats="0" applyWidthHeightFormats="0">
  <queryTableRefresh nextId="29">
    <queryTableFields count="2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DC997-82E3-48DC-8CA0-2191B9A3754A}" name="years" displayName="years" ref="A1:I2" tableType="queryTable" totalsRowShown="0">
  <autoFilter ref="A1:I2" xr:uid="{90DDC997-82E3-48DC-8CA0-2191B9A3754A}"/>
  <tableColumns count="9">
    <tableColumn id="1" xr3:uid="{30F426CF-7B0B-4FFF-845C-8061E7B9B981}" uniqueName="1" name="Column1" queryTableFieldId="1"/>
    <tableColumn id="2" xr3:uid="{638A8BAF-1435-4DEC-9193-9B807B364486}" uniqueName="2" name="Column2" queryTableFieldId="2"/>
    <tableColumn id="3" xr3:uid="{D8F5B00B-5FE0-453E-AB85-79ED33FDD9F6}" uniqueName="3" name="Column3" queryTableFieldId="3"/>
    <tableColumn id="4" xr3:uid="{5773ADED-8834-4BF6-8FB0-A11E855A6F52}" uniqueName="4" name="Column4" queryTableFieldId="4"/>
    <tableColumn id="5" xr3:uid="{24411825-8E9A-4152-AEA9-4AE8C2D6629E}" uniqueName="5" name="Column5" queryTableFieldId="5"/>
    <tableColumn id="6" xr3:uid="{D55171F7-0B2B-4085-A093-1FF5CABC9F13}" uniqueName="6" name="Column6" queryTableFieldId="6"/>
    <tableColumn id="7" xr3:uid="{495D0579-3846-4EA4-A895-CCF8B69FB269}" uniqueName="7" name="Column7" queryTableFieldId="7"/>
    <tableColumn id="8" xr3:uid="{E0830126-A128-4FB9-A640-E2FD48883D50}" uniqueName="8" name="Column8" queryTableFieldId="8"/>
    <tableColumn id="9" xr3:uid="{80457AA5-C38C-458C-B5CE-247908EFAC29}" uniqueName="9" name="Column9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094C9A-CF68-4C44-98CB-3AA447150A75}" name="moths" displayName="moths" ref="A1:L2" tableType="queryTable" totalsRowShown="0">
  <autoFilter ref="A1:L2" xr:uid="{8B094C9A-CF68-4C44-98CB-3AA447150A75}"/>
  <tableColumns count="12">
    <tableColumn id="1" xr3:uid="{19772705-9D72-40EE-AC15-1A57FF002F31}" uniqueName="1" name="Column1" queryTableFieldId="1" dataDxfId="39"/>
    <tableColumn id="2" xr3:uid="{FF2C0069-4867-4C19-ABD2-21EC47AD8AFA}" uniqueName="2" name="Column2" queryTableFieldId="2" dataDxfId="38"/>
    <tableColumn id="3" xr3:uid="{EC5B96DE-79D5-438A-B130-079F16D0BD99}" uniqueName="3" name="Column3" queryTableFieldId="3" dataDxfId="37"/>
    <tableColumn id="4" xr3:uid="{9DF15598-1294-4665-8416-CAB9C16A9D38}" uniqueName="4" name="Column4" queryTableFieldId="4" dataDxfId="36"/>
    <tableColumn id="5" xr3:uid="{7256D223-6D83-4290-8F2F-1563ED0AE1E0}" uniqueName="5" name="Column5" queryTableFieldId="5" dataDxfId="35"/>
    <tableColumn id="6" xr3:uid="{D58DF56A-12A2-4837-A3AD-4E67C8A6A323}" uniqueName="6" name="Column6" queryTableFieldId="6" dataDxfId="34"/>
    <tableColumn id="7" xr3:uid="{B8BA86F7-A9A9-458D-9F0A-A6324F807E51}" uniqueName="7" name="Column7" queryTableFieldId="7" dataDxfId="33"/>
    <tableColumn id="8" xr3:uid="{74988F88-DD1D-47E6-970A-E4ED85F35FCB}" uniqueName="8" name="Column8" queryTableFieldId="8" dataDxfId="32"/>
    <tableColumn id="9" xr3:uid="{1B959E4E-2010-4171-BB7E-F71FA0580967}" uniqueName="9" name="Column9" queryTableFieldId="9" dataDxfId="31"/>
    <tableColumn id="10" xr3:uid="{00BC45A2-A61A-4E91-B622-26BC831D898F}" uniqueName="10" name="Column10" queryTableFieldId="10" dataDxfId="30"/>
    <tableColumn id="11" xr3:uid="{3604F980-4A50-456D-852B-50D01B0A094A}" uniqueName="11" name="Column11" queryTableFieldId="11" dataDxfId="29"/>
    <tableColumn id="12" xr3:uid="{B79B9D82-E6FE-4B9C-8557-50AC2EF951C9}" uniqueName="12" name="Column12" queryTableFieldId="12" dataDxfId="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790AEC-8B43-4492-96E6-79B3850A4B04}" name="labs" displayName="labs" ref="A1:AB2" tableType="queryTable" totalsRowShown="0">
  <autoFilter ref="A1:AB2" xr:uid="{D3790AEC-8B43-4492-96E6-79B3850A4B04}"/>
  <tableColumns count="28">
    <tableColumn id="1" xr3:uid="{31112305-DFBC-4B36-995A-DD09C16049F5}" uniqueName="1" name="Column1" queryTableFieldId="1" dataDxfId="27"/>
    <tableColumn id="2" xr3:uid="{47CF927B-B9E7-4181-8D16-55588FDCF28C}" uniqueName="2" name="Column2" queryTableFieldId="2" dataDxfId="26"/>
    <tableColumn id="3" xr3:uid="{5072546A-BDCE-45DB-94CD-BB5FDD547C30}" uniqueName="3" name="Column3" queryTableFieldId="3" dataDxfId="25"/>
    <tableColumn id="4" xr3:uid="{B8FBDED3-EF81-4077-8083-4F92ACE76512}" uniqueName="4" name="Column4" queryTableFieldId="4" dataDxfId="24"/>
    <tableColumn id="5" xr3:uid="{C73CF637-3351-40DA-867C-B9A84BF92D97}" uniqueName="5" name="Column5" queryTableFieldId="5" dataDxfId="23"/>
    <tableColumn id="6" xr3:uid="{9D7B6061-AD36-4337-8186-0BAF6AC08757}" uniqueName="6" name="Column6" queryTableFieldId="6" dataDxfId="22"/>
    <tableColumn id="7" xr3:uid="{285F0A98-E75C-4BC3-A1D3-B4A159F56461}" uniqueName="7" name="Column7" queryTableFieldId="7" dataDxfId="21"/>
    <tableColumn id="8" xr3:uid="{2FAC7114-6F7D-4C94-94A5-9840E2AE3296}" uniqueName="8" name="Column8" queryTableFieldId="8" dataDxfId="20"/>
    <tableColumn id="9" xr3:uid="{0DCF9FAE-E5D4-441B-B7D3-A32DB7A58009}" uniqueName="9" name="Column9" queryTableFieldId="9" dataDxfId="19"/>
    <tableColumn id="10" xr3:uid="{A68488C4-2DD4-474D-8E4E-FBA2138EB270}" uniqueName="10" name="Column10" queryTableFieldId="10" dataDxfId="18"/>
    <tableColumn id="11" xr3:uid="{431A54BF-249C-49F3-8DFD-3205463CDD81}" uniqueName="11" name="Column11" queryTableFieldId="11" dataDxfId="17"/>
    <tableColumn id="12" xr3:uid="{9E606AB9-747C-46D2-8542-AD7060696417}" uniqueName="12" name="Column12" queryTableFieldId="12" dataDxfId="16"/>
    <tableColumn id="13" xr3:uid="{46DF0986-690D-4D55-832C-711664867971}" uniqueName="13" name="Column13" queryTableFieldId="13" dataDxfId="15"/>
    <tableColumn id="14" xr3:uid="{C2F8738F-347A-4B90-9545-6E2A082B7AEC}" uniqueName="14" name="Column14" queryTableFieldId="14" dataDxfId="14"/>
    <tableColumn id="15" xr3:uid="{B44EB68D-4782-463F-B5BF-B192F697412F}" uniqueName="15" name="Column15" queryTableFieldId="15" dataDxfId="13"/>
    <tableColumn id="16" xr3:uid="{9E56D299-DF86-47C4-8122-243903A5A502}" uniqueName="16" name="Column16" queryTableFieldId="16" dataDxfId="12"/>
    <tableColumn id="17" xr3:uid="{69806142-203F-4EC1-8AF5-A41BCCF2F961}" uniqueName="17" name="Column17" queryTableFieldId="17" dataDxfId="11"/>
    <tableColumn id="18" xr3:uid="{6AF2D7A0-2BDB-4C5A-83BE-D8EFD275E074}" uniqueName="18" name="Column18" queryTableFieldId="18" dataDxfId="10"/>
    <tableColumn id="19" xr3:uid="{B5943B07-0F0A-4C2A-92A9-3DDC193943C6}" uniqueName="19" name="Column19" queryTableFieldId="19" dataDxfId="9"/>
    <tableColumn id="20" xr3:uid="{BA67A091-CFCB-4D51-8618-69A31B0567F1}" uniqueName="20" name="Column20" queryTableFieldId="20" dataDxfId="8"/>
    <tableColumn id="21" xr3:uid="{A087BD20-4C33-4297-A816-268DA0C96111}" uniqueName="21" name="Column21" queryTableFieldId="21" dataDxfId="7"/>
    <tableColumn id="22" xr3:uid="{2DD95EF3-2670-457A-9BF1-FF8981560C1B}" uniqueName="22" name="Column22" queryTableFieldId="22" dataDxfId="6"/>
    <tableColumn id="23" xr3:uid="{67124F5A-2A0F-4B23-B3C4-64B37F27650D}" uniqueName="23" name="Column23" queryTableFieldId="23" dataDxfId="5"/>
    <tableColumn id="24" xr3:uid="{B7ABBE33-520F-4519-BF7C-14BA85FC0D48}" uniqueName="24" name="Column24" queryTableFieldId="24" dataDxfId="4"/>
    <tableColumn id="25" xr3:uid="{E1A7A2DF-D042-4ADB-8A92-AB64CA80AB8F}" uniqueName="25" name="Column25" queryTableFieldId="25" dataDxfId="3"/>
    <tableColumn id="26" xr3:uid="{CEB6A43B-FC46-4FAD-A814-1757FC836A02}" uniqueName="26" name="Column26" queryTableFieldId="26" dataDxfId="2"/>
    <tableColumn id="27" xr3:uid="{1ADB3AC3-719A-4C78-9A55-B8DF4FAFC487}" uniqueName="27" name="Column27" queryTableFieldId="27" dataDxfId="1"/>
    <tableColumn id="28" xr3:uid="{0AAF0E12-9960-43C1-A3DC-D6C71AE89565}" uniqueName="28" name="Column28" queryTableFieldId="2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8D266-0B21-4284-BCB8-C9D774E0C50E}">
  <sheetPr codeName="Sheet1"/>
  <dimension ref="A1:N26"/>
  <sheetViews>
    <sheetView tabSelected="1" workbookViewId="0">
      <selection activeCell="K14" sqref="K14"/>
    </sheetView>
  </sheetViews>
  <sheetFormatPr defaultColWidth="0" defaultRowHeight="15" zeroHeight="1"/>
  <cols>
    <col min="1" max="1" width="2.7109375" customWidth="1"/>
    <col min="2" max="2" width="29.7109375" customWidth="1"/>
    <col min="3" max="3" width="10.28515625" customWidth="1"/>
    <col min="4" max="4" width="14.140625" customWidth="1"/>
    <col min="5" max="5" width="11.7109375" customWidth="1"/>
    <col min="6" max="6" width="11.42578125" hidden="1" customWidth="1"/>
    <col min="7" max="7" width="12.28515625" hidden="1" customWidth="1"/>
    <col min="8" max="8" width="34.140625" customWidth="1"/>
    <col min="9" max="9" width="14.7109375" customWidth="1"/>
    <col min="10" max="10" width="11.7109375" hidden="1" customWidth="1"/>
    <col min="11" max="11" width="16.7109375" customWidth="1"/>
    <col min="12" max="12" width="15.5703125" hidden="1" customWidth="1"/>
    <col min="13" max="13" width="38.5703125" customWidth="1"/>
    <col min="14" max="14" width="3.140625" customWidth="1"/>
    <col min="15" max="16384" width="9.140625" hidden="1"/>
  </cols>
  <sheetData>
    <row r="1" spans="2:13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2:13" ht="38.25" customHeight="1">
      <c r="B2" s="23" t="e" vm="1">
        <v>#VALUE!</v>
      </c>
      <c r="C2" s="24"/>
      <c r="D2" s="25"/>
      <c r="E2" s="26" t="s">
        <v>0</v>
      </c>
      <c r="F2" s="27"/>
      <c r="G2" s="27"/>
      <c r="H2" s="27"/>
      <c r="I2" s="27"/>
      <c r="J2" s="27"/>
      <c r="K2" s="28"/>
      <c r="L2" s="29" t="s">
        <v>32</v>
      </c>
      <c r="M2" s="30"/>
    </row>
    <row r="3" spans="2:13"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</row>
    <row r="4" spans="2:13">
      <c r="B4" s="1" t="s">
        <v>93</v>
      </c>
      <c r="C4" s="16"/>
      <c r="D4" s="17"/>
      <c r="E4" s="17"/>
      <c r="F4" s="17"/>
      <c r="G4" s="17"/>
      <c r="H4" s="17"/>
      <c r="I4" s="17"/>
      <c r="J4" s="17"/>
      <c r="K4" s="17"/>
      <c r="L4" s="17"/>
      <c r="M4" s="17"/>
    </row>
    <row r="5" spans="2:13">
      <c r="B5" s="1" t="s">
        <v>89</v>
      </c>
      <c r="C5" s="16"/>
      <c r="D5" s="17"/>
      <c r="E5" s="17"/>
      <c r="F5" s="17"/>
      <c r="G5" s="17"/>
      <c r="H5" s="17"/>
      <c r="I5" s="17"/>
      <c r="J5" s="17"/>
      <c r="K5" s="17"/>
      <c r="L5" s="17"/>
      <c r="M5" s="18"/>
    </row>
    <row r="6" spans="2:13">
      <c r="B6" s="1" t="s">
        <v>1</v>
      </c>
      <c r="C6" s="16"/>
      <c r="D6" s="17"/>
      <c r="E6" s="17"/>
      <c r="F6" s="17"/>
      <c r="G6" s="17"/>
      <c r="H6" s="17"/>
      <c r="I6" s="17"/>
      <c r="J6" s="17"/>
      <c r="K6" s="17"/>
      <c r="L6" s="17"/>
      <c r="M6" s="18"/>
    </row>
    <row r="7" spans="2:13">
      <c r="B7" s="2" t="s">
        <v>2</v>
      </c>
      <c r="C7" s="16"/>
      <c r="D7" s="17"/>
      <c r="E7" s="17"/>
      <c r="F7" s="17"/>
      <c r="G7" s="17"/>
      <c r="H7" s="17"/>
      <c r="I7" s="17"/>
      <c r="J7" s="17"/>
      <c r="K7" s="17"/>
      <c r="L7" s="17"/>
      <c r="M7" s="18"/>
    </row>
    <row r="8" spans="2:13">
      <c r="B8" s="1" t="s">
        <v>3</v>
      </c>
      <c r="C8" s="16"/>
      <c r="D8" s="17"/>
      <c r="E8" s="17"/>
      <c r="F8" s="17"/>
      <c r="G8" s="17"/>
      <c r="H8" s="17"/>
      <c r="I8" s="17"/>
      <c r="J8" s="17"/>
      <c r="K8" s="17"/>
      <c r="L8" s="17"/>
      <c r="M8" s="18"/>
    </row>
    <row r="9" spans="2:13">
      <c r="B9" s="3" t="s">
        <v>4</v>
      </c>
      <c r="C9" s="16"/>
      <c r="D9" s="17"/>
      <c r="E9" s="17"/>
      <c r="F9" s="17"/>
      <c r="G9" s="17"/>
      <c r="H9" s="17"/>
      <c r="I9" s="17"/>
      <c r="J9" s="17"/>
      <c r="K9" s="17"/>
      <c r="L9" s="17"/>
      <c r="M9" s="18"/>
    </row>
    <row r="10" spans="2:13">
      <c r="B10" s="4"/>
      <c r="C10" s="5"/>
      <c r="D10" s="5"/>
    </row>
    <row r="11" spans="2:13" ht="42.75" customHeight="1">
      <c r="B11" s="6" t="s">
        <v>5</v>
      </c>
      <c r="C11" s="6" t="s">
        <v>6</v>
      </c>
      <c r="D11" s="7" t="s">
        <v>7</v>
      </c>
      <c r="E11" s="7" t="s">
        <v>8</v>
      </c>
      <c r="F11" s="7" t="s">
        <v>9</v>
      </c>
      <c r="G11" s="7" t="s">
        <v>10</v>
      </c>
      <c r="H11" s="7" t="s">
        <v>11</v>
      </c>
      <c r="I11" s="7" t="s">
        <v>12</v>
      </c>
      <c r="J11" s="7" t="s">
        <v>13</v>
      </c>
      <c r="K11" s="7" t="s">
        <v>14</v>
      </c>
      <c r="L11" s="7" t="s">
        <v>15</v>
      </c>
      <c r="M11" s="7" t="s">
        <v>16</v>
      </c>
    </row>
    <row r="12" spans="2:13">
      <c r="B12" s="19" t="s">
        <v>17</v>
      </c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1"/>
    </row>
    <row r="13" spans="2:13">
      <c r="B13" s="8" t="s">
        <v>18</v>
      </c>
      <c r="C13" s="9" t="s">
        <v>19</v>
      </c>
      <c r="D13" s="10">
        <v>0</v>
      </c>
      <c r="E13" s="10">
        <v>0</v>
      </c>
      <c r="F13" s="10">
        <v>1.08</v>
      </c>
      <c r="G13" s="10" t="str">
        <f t="shared" ref="G13" si="0">IF(C13="L",E13*F13,(IF(C13="kg",E13*1,"-")))</f>
        <v>-</v>
      </c>
      <c r="H13" s="9" t="s">
        <v>19</v>
      </c>
      <c r="I13" s="10">
        <v>0</v>
      </c>
      <c r="J13" s="10" t="str">
        <f>IF(C13="L",I13*F13,(IF(C13="kg",I13*1,"-")))</f>
        <v>-</v>
      </c>
      <c r="K13" s="11">
        <f>D13+E13-I13</f>
        <v>0</v>
      </c>
      <c r="L13" s="11" t="str">
        <f>IF(C13="L",K13*F13,(IF(C13="kg",K13*1,"-")))</f>
        <v>-</v>
      </c>
      <c r="M13" s="9" t="s">
        <v>19</v>
      </c>
    </row>
    <row r="14" spans="2:13">
      <c r="B14" s="8" t="s">
        <v>20</v>
      </c>
      <c r="C14" s="9" t="s">
        <v>19</v>
      </c>
      <c r="D14" s="10">
        <v>0</v>
      </c>
      <c r="E14" s="10">
        <v>0</v>
      </c>
      <c r="F14" s="10">
        <v>2.7</v>
      </c>
      <c r="G14" s="10" t="str">
        <f>IF(C14="L",E14*F14,(IF(C14="kg",E14*1,"-")))</f>
        <v>-</v>
      </c>
      <c r="H14" s="9" t="s">
        <v>19</v>
      </c>
      <c r="I14" s="10">
        <v>0</v>
      </c>
      <c r="J14" s="10" t="str">
        <f>IF(C14="L",I14*F14,(IF(C14="kg",I14*1,"-")))</f>
        <v>-</v>
      </c>
      <c r="K14" s="11">
        <f>D14+E14-I14</f>
        <v>0</v>
      </c>
      <c r="L14" s="11" t="str">
        <f>IF(C14="L",K14*F14,(IF(C14="kg",K14*1,"-")))</f>
        <v>-</v>
      </c>
      <c r="M14" s="9" t="s">
        <v>19</v>
      </c>
    </row>
    <row r="15" spans="2:13">
      <c r="B15" s="19" t="s">
        <v>21</v>
      </c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1"/>
    </row>
    <row r="16" spans="2:13">
      <c r="B16" s="12" t="s">
        <v>22</v>
      </c>
      <c r="C16" s="9" t="s">
        <v>19</v>
      </c>
      <c r="D16" s="10">
        <v>0</v>
      </c>
      <c r="E16" s="10">
        <v>0</v>
      </c>
      <c r="F16" s="10">
        <v>0.79</v>
      </c>
      <c r="G16" s="10" t="str">
        <f t="shared" ref="G16:G23" si="1">IF(C16="L",E16*F16,(IF(C16="kg",E16*1,"-")))</f>
        <v>-</v>
      </c>
      <c r="H16" s="9" t="s">
        <v>19</v>
      </c>
      <c r="I16" s="10">
        <v>0</v>
      </c>
      <c r="J16" s="10" t="str">
        <f t="shared" ref="J16:J23" si="2">IF(C16="L",I16*F16,(IF(C16="kg",I16*1,"-")))</f>
        <v>-</v>
      </c>
      <c r="K16" s="11">
        <f>D16+E16-I16</f>
        <v>0</v>
      </c>
      <c r="L16" s="11" t="str">
        <f t="shared" ref="L16:L23" si="3">IF(C16="L",K16*F16,(IF(C16="kg",K16*1,"-")))</f>
        <v>-</v>
      </c>
      <c r="M16" s="9" t="s">
        <v>19</v>
      </c>
    </row>
    <row r="17" spans="2:13">
      <c r="B17" s="12" t="s">
        <v>23</v>
      </c>
      <c r="C17" s="9" t="s">
        <v>19</v>
      </c>
      <c r="D17" s="10">
        <v>0</v>
      </c>
      <c r="E17" s="10">
        <v>0</v>
      </c>
      <c r="F17" s="10">
        <v>1.18</v>
      </c>
      <c r="G17" s="10" t="str">
        <f t="shared" si="1"/>
        <v>-</v>
      </c>
      <c r="H17" s="9" t="s">
        <v>19</v>
      </c>
      <c r="I17" s="10">
        <v>0</v>
      </c>
      <c r="J17" s="10" t="str">
        <f t="shared" si="2"/>
        <v>-</v>
      </c>
      <c r="K17" s="11">
        <f>D17+E17-I17</f>
        <v>0</v>
      </c>
      <c r="L17" s="11" t="str">
        <f t="shared" si="3"/>
        <v>-</v>
      </c>
      <c r="M17" s="9" t="s">
        <v>19</v>
      </c>
    </row>
    <row r="18" spans="2:13">
      <c r="B18" s="8" t="s">
        <v>24</v>
      </c>
      <c r="C18" s="9" t="s">
        <v>19</v>
      </c>
      <c r="D18" s="13">
        <v>0</v>
      </c>
      <c r="E18" s="10">
        <v>0</v>
      </c>
      <c r="F18" s="10">
        <v>1.84</v>
      </c>
      <c r="G18" s="10" t="str">
        <f t="shared" si="1"/>
        <v>-</v>
      </c>
      <c r="H18" s="9" t="s">
        <v>19</v>
      </c>
      <c r="I18" s="10">
        <v>0</v>
      </c>
      <c r="J18" s="10" t="str">
        <f t="shared" si="2"/>
        <v>-</v>
      </c>
      <c r="K18" s="11">
        <f t="shared" ref="K16:K23" si="4">D18+E18-I18</f>
        <v>0</v>
      </c>
      <c r="L18" s="11" t="str">
        <f t="shared" si="3"/>
        <v>-</v>
      </c>
      <c r="M18" s="9" t="s">
        <v>19</v>
      </c>
    </row>
    <row r="19" spans="2:13">
      <c r="B19" s="8" t="s">
        <v>25</v>
      </c>
      <c r="C19" s="9" t="s">
        <v>19</v>
      </c>
      <c r="D19" s="13">
        <v>0</v>
      </c>
      <c r="E19" s="10">
        <v>0</v>
      </c>
      <c r="F19" s="10">
        <v>0.79</v>
      </c>
      <c r="G19" s="10" t="str">
        <f t="shared" si="1"/>
        <v>-</v>
      </c>
      <c r="H19" s="9" t="s">
        <v>19</v>
      </c>
      <c r="I19" s="10">
        <v>0</v>
      </c>
      <c r="J19" s="10" t="str">
        <f t="shared" si="2"/>
        <v>-</v>
      </c>
      <c r="K19" s="11">
        <f t="shared" si="4"/>
        <v>0</v>
      </c>
      <c r="L19" s="11" t="str">
        <f t="shared" si="3"/>
        <v>-</v>
      </c>
      <c r="M19" s="9" t="s">
        <v>19</v>
      </c>
    </row>
    <row r="20" spans="2:13">
      <c r="B20" s="8" t="s">
        <v>26</v>
      </c>
      <c r="C20" s="9" t="s">
        <v>19</v>
      </c>
      <c r="D20" s="13">
        <v>0</v>
      </c>
      <c r="E20" s="10">
        <v>0</v>
      </c>
      <c r="F20" s="10">
        <v>0.71</v>
      </c>
      <c r="G20" s="10" t="str">
        <f t="shared" si="1"/>
        <v>-</v>
      </c>
      <c r="H20" s="9" t="s">
        <v>19</v>
      </c>
      <c r="I20" s="10">
        <v>0</v>
      </c>
      <c r="J20" s="10" t="str">
        <f t="shared" si="2"/>
        <v>-</v>
      </c>
      <c r="K20" s="11">
        <f t="shared" si="4"/>
        <v>0</v>
      </c>
      <c r="L20" s="11" t="str">
        <f t="shared" si="3"/>
        <v>-</v>
      </c>
      <c r="M20" s="9" t="s">
        <v>19</v>
      </c>
    </row>
    <row r="21" spans="2:13">
      <c r="B21" s="8" t="s">
        <v>27</v>
      </c>
      <c r="C21" s="9" t="s">
        <v>19</v>
      </c>
      <c r="D21" s="13">
        <v>0</v>
      </c>
      <c r="E21" s="10">
        <v>0</v>
      </c>
      <c r="F21" s="10">
        <v>0.81</v>
      </c>
      <c r="G21" s="10" t="str">
        <f t="shared" si="1"/>
        <v>-</v>
      </c>
      <c r="H21" s="9" t="s">
        <v>19</v>
      </c>
      <c r="I21" s="10">
        <v>0</v>
      </c>
      <c r="J21" s="10" t="str">
        <f t="shared" si="2"/>
        <v>-</v>
      </c>
      <c r="K21" s="11">
        <f t="shared" si="4"/>
        <v>0</v>
      </c>
      <c r="L21" s="11" t="str">
        <f t="shared" si="3"/>
        <v>-</v>
      </c>
      <c r="M21" s="9" t="s">
        <v>19</v>
      </c>
    </row>
    <row r="22" spans="2:13">
      <c r="B22" s="8" t="s">
        <v>28</v>
      </c>
      <c r="C22" s="9" t="s">
        <v>19</v>
      </c>
      <c r="D22" s="13">
        <v>0</v>
      </c>
      <c r="E22" s="10">
        <v>0</v>
      </c>
      <c r="F22" s="10">
        <v>0.87</v>
      </c>
      <c r="G22" s="10" t="str">
        <f t="shared" si="1"/>
        <v>-</v>
      </c>
      <c r="H22" s="9" t="s">
        <v>19</v>
      </c>
      <c r="I22" s="10">
        <v>0</v>
      </c>
      <c r="J22" s="10" t="str">
        <f t="shared" si="2"/>
        <v>-</v>
      </c>
      <c r="K22" s="11">
        <f t="shared" si="4"/>
        <v>0</v>
      </c>
      <c r="L22" s="11" t="str">
        <f t="shared" si="3"/>
        <v>-</v>
      </c>
      <c r="M22" s="9" t="s">
        <v>19</v>
      </c>
    </row>
    <row r="23" spans="2:13">
      <c r="B23" s="8" t="s">
        <v>31</v>
      </c>
      <c r="C23" s="9" t="s">
        <v>19</v>
      </c>
      <c r="D23" s="13">
        <v>0</v>
      </c>
      <c r="E23" s="10">
        <v>0</v>
      </c>
      <c r="F23" s="10">
        <v>0.79200000000000004</v>
      </c>
      <c r="G23" s="10" t="str">
        <f t="shared" si="1"/>
        <v>-</v>
      </c>
      <c r="H23" s="9" t="s">
        <v>19</v>
      </c>
      <c r="I23" s="10">
        <v>0</v>
      </c>
      <c r="J23" s="10" t="str">
        <f t="shared" si="2"/>
        <v>-</v>
      </c>
      <c r="K23" s="11">
        <f t="shared" si="4"/>
        <v>0</v>
      </c>
      <c r="L23" s="11" t="str">
        <f t="shared" si="3"/>
        <v>-</v>
      </c>
      <c r="M23" s="9" t="s">
        <v>19</v>
      </c>
    </row>
    <row r="24" spans="2:13">
      <c r="B24" s="19" t="s">
        <v>29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1"/>
    </row>
    <row r="25" spans="2:13">
      <c r="B25" s="8" t="s">
        <v>30</v>
      </c>
      <c r="C25" s="9" t="s">
        <v>19</v>
      </c>
      <c r="D25" s="13">
        <v>0</v>
      </c>
      <c r="E25" s="10">
        <v>0</v>
      </c>
      <c r="F25" s="10">
        <v>0.78900000000000003</v>
      </c>
      <c r="G25" s="10" t="str">
        <f t="shared" ref="G25" si="5">IF(C25="L",E25*F25,(IF(C25="kg",E25*1,"-")))</f>
        <v>-</v>
      </c>
      <c r="H25" s="9" t="s">
        <v>19</v>
      </c>
      <c r="I25" s="10">
        <v>0</v>
      </c>
      <c r="J25" s="10" t="str">
        <f t="shared" ref="J25" si="6">IF(C25="L",I25*F25,(IF(C25="kg",I25*1,"-")))</f>
        <v>-</v>
      </c>
      <c r="K25" s="11">
        <f t="shared" ref="K25" si="7">D25+E25-I25</f>
        <v>0</v>
      </c>
      <c r="L25" s="11" t="str">
        <f t="shared" ref="L25" si="8">IF(C25="L",K25*F25,(IF(C25="kg",K25*1,"-")))</f>
        <v>-</v>
      </c>
      <c r="M25" s="14" t="s">
        <v>19</v>
      </c>
    </row>
    <row r="26" spans="2:13"/>
  </sheetData>
  <sheetProtection algorithmName="SHA-512" hashValue="SlQUR4NqtWWetTUwVeM4UA2k9f5HTUwwia+lKHI4KrKtpPbLrhItyULfqR4z6e3aLSAqzRxgq1VUXCIvqtf+Ig==" saltValue="5pO6raUyFBaoASGx2P7GiA==" spinCount="100000" sheet="1" formatCells="0" formatColumns="0" formatRows="0" insertColumns="0" insertRows="0" insertHyperlinks="0" deleteColumns="0" deleteRows="0"/>
  <protectedRanges>
    <protectedRange sqref="M13:M14 M25 M16:M23 G6:I6 C5:F6 C7:I9 J5:M9 C16:J23 C25:J25 C13:J14 C4" name="Información editable"/>
  </protectedRanges>
  <mergeCells count="14">
    <mergeCell ref="B1:M1"/>
    <mergeCell ref="C9:M9"/>
    <mergeCell ref="B12:M12"/>
    <mergeCell ref="B15:M15"/>
    <mergeCell ref="B24:M24"/>
    <mergeCell ref="B3:M3"/>
    <mergeCell ref="C8:M8"/>
    <mergeCell ref="B2:D2"/>
    <mergeCell ref="E2:K2"/>
    <mergeCell ref="C6:M6"/>
    <mergeCell ref="C7:M7"/>
    <mergeCell ref="L2:M2"/>
    <mergeCell ref="C4:M4"/>
    <mergeCell ref="C5:M5"/>
  </mergeCells>
  <conditionalFormatting sqref="E13:E14 E25">
    <cfRule type="cellIs" dxfId="43" priority="11" operator="greaterThan">
      <formula>0</formula>
    </cfRule>
  </conditionalFormatting>
  <conditionalFormatting sqref="E16:E23">
    <cfRule type="cellIs" dxfId="42" priority="10" operator="greaterThan">
      <formula>0</formula>
    </cfRule>
  </conditionalFormatting>
  <conditionalFormatting sqref="I13:I14 I25">
    <cfRule type="cellIs" dxfId="41" priority="8" operator="greaterThan">
      <formula>0</formula>
    </cfRule>
  </conditionalFormatting>
  <conditionalFormatting sqref="I16:I23">
    <cfRule type="cellIs" dxfId="40" priority="7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openLastBalanceWorkbook">
                <anchor moveWithCells="1" sizeWithCells="1">
                  <from>
                    <xdr:col>3</xdr:col>
                    <xdr:colOff>9525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EFB1573-D990-4F51-A6EF-58E39EFBD47C}">
          <x14:formula1>
            <xm:f>labs!$A$2:$AC$2</xm:f>
          </x14:formula1>
          <xm:sqref>C6:M6</xm:sqref>
        </x14:dataValidation>
        <x14:dataValidation type="list" allowBlank="1" showInputMessage="1" showErrorMessage="1" xr:uid="{8812D3DC-2BDA-4F2C-9B51-2E9D15BE02E4}">
          <x14:formula1>
            <xm:f>months!$A$2:$M$2</xm:f>
          </x14:formula1>
          <xm:sqref>C5</xm:sqref>
        </x14:dataValidation>
        <x14:dataValidation type="list" allowBlank="1" showInputMessage="1" showErrorMessage="1" xr:uid="{2C5349A5-B53D-4E25-A070-182862EE332A}">
          <x14:formula1>
            <xm:f>years!$A$2:$H$2</xm:f>
          </x14:formula1>
          <xm:sqref>C4</xm:sqref>
        </x14:dataValidation>
        <x14:dataValidation type="list" allowBlank="1" showInputMessage="1" showErrorMessage="1" xr:uid="{165652AD-09D3-47B8-B0CE-118B7E8BE3F3}">
          <x14:formula1>
            <xm:f>Unity!$A$1:$C$1</xm:f>
          </x14:formula1>
          <xm:sqref>C13:C14 C16:C23 C25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3806-1547-4BDD-8554-F6BA63CC5CA8}">
  <sheetPr codeName="Sheet2"/>
  <dimension ref="A1:C1"/>
  <sheetViews>
    <sheetView workbookViewId="0">
      <selection activeCell="E15" sqref="E15"/>
    </sheetView>
  </sheetViews>
  <sheetFormatPr defaultRowHeight="15"/>
  <sheetData>
    <row r="1" spans="1:3">
      <c r="A1" t="s">
        <v>91</v>
      </c>
      <c r="B1" t="s">
        <v>92</v>
      </c>
      <c r="C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EACF-D9D7-4CF8-A900-C193F31C09B6}">
  <sheetPr codeName="Sheet3"/>
  <dimension ref="A1:I2"/>
  <sheetViews>
    <sheetView workbookViewId="0">
      <selection activeCell="L19" sqref="L19"/>
    </sheetView>
  </sheetViews>
  <sheetFormatPr defaultRowHeight="15"/>
  <cols>
    <col min="1" max="8" width="11.42578125" bestFit="1" customWidth="1"/>
  </cols>
  <sheetData>
    <row r="1" spans="1:9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</row>
    <row r="2" spans="1:9">
      <c r="A2">
        <v>2023</v>
      </c>
      <c r="B2">
        <v>2024</v>
      </c>
      <c r="C2">
        <v>2025</v>
      </c>
      <c r="D2">
        <v>2026</v>
      </c>
      <c r="E2">
        <v>2027</v>
      </c>
      <c r="F2">
        <v>2028</v>
      </c>
      <c r="G2">
        <v>2029</v>
      </c>
      <c r="H2">
        <v>2030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77D94-B6AC-4D30-8F3C-BCC971687044}">
  <sheetPr codeName="Sheet4"/>
  <dimension ref="A1:L2"/>
  <sheetViews>
    <sheetView workbookViewId="0">
      <selection activeCell="J14" sqref="J14"/>
    </sheetView>
  </sheetViews>
  <sheetFormatPr defaultRowHeight="15"/>
  <cols>
    <col min="1" max="9" width="11.42578125" bestFit="1" customWidth="1"/>
    <col min="10" max="12" width="12.42578125" bestFit="1" customWidth="1"/>
  </cols>
  <sheetData>
    <row r="1" spans="1:12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</row>
    <row r="2" spans="1:12">
      <c r="A2" t="s">
        <v>90</v>
      </c>
      <c r="B2" t="s">
        <v>94</v>
      </c>
      <c r="C2" t="s">
        <v>95</v>
      </c>
      <c r="D2" t="s">
        <v>96</v>
      </c>
      <c r="E2" t="s">
        <v>97</v>
      </c>
      <c r="F2" t="s">
        <v>98</v>
      </c>
      <c r="G2" t="s">
        <v>99</v>
      </c>
      <c r="H2" t="s">
        <v>100</v>
      </c>
      <c r="I2" t="s">
        <v>101</v>
      </c>
      <c r="J2" t="s">
        <v>102</v>
      </c>
      <c r="K2" t="s">
        <v>103</v>
      </c>
      <c r="L2" t="s">
        <v>104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55432-4E5B-48D0-A24B-F1BF361108C5}">
  <sheetPr codeName="Sheet5"/>
  <dimension ref="A1:AB2"/>
  <sheetViews>
    <sheetView topLeftCell="T1" workbookViewId="0">
      <selection activeCell="D31" sqref="D31"/>
    </sheetView>
  </sheetViews>
  <sheetFormatPr defaultRowHeight="15"/>
  <cols>
    <col min="1" max="1" width="19.5703125" bestFit="1" customWidth="1"/>
    <col min="2" max="2" width="39.5703125" bestFit="1" customWidth="1"/>
    <col min="3" max="3" width="38.140625" bestFit="1" customWidth="1"/>
    <col min="4" max="4" width="49" bestFit="1" customWidth="1"/>
    <col min="5" max="5" width="37.42578125" bestFit="1" customWidth="1"/>
    <col min="6" max="6" width="42.42578125" bestFit="1" customWidth="1"/>
    <col min="7" max="8" width="11.42578125" bestFit="1" customWidth="1"/>
    <col min="9" max="9" width="31.140625" bestFit="1" customWidth="1"/>
    <col min="10" max="10" width="31.5703125" bestFit="1" customWidth="1"/>
    <col min="11" max="11" width="27.7109375" bestFit="1" customWidth="1"/>
    <col min="12" max="12" width="31.7109375" bestFit="1" customWidth="1"/>
    <col min="13" max="13" width="29.85546875" bestFit="1" customWidth="1"/>
    <col min="14" max="14" width="44.7109375" bestFit="1" customWidth="1"/>
    <col min="15" max="15" width="37.7109375" bestFit="1" customWidth="1"/>
    <col min="16" max="16" width="25.85546875" bestFit="1" customWidth="1"/>
    <col min="17" max="17" width="36.85546875" bestFit="1" customWidth="1"/>
    <col min="18" max="18" width="40.7109375" bestFit="1" customWidth="1"/>
    <col min="19" max="19" width="31.85546875" bestFit="1" customWidth="1"/>
    <col min="20" max="20" width="35" bestFit="1" customWidth="1"/>
    <col min="21" max="21" width="34" bestFit="1" customWidth="1"/>
    <col min="22" max="22" width="30.7109375" bestFit="1" customWidth="1"/>
    <col min="23" max="23" width="27.85546875" bestFit="1" customWidth="1"/>
    <col min="24" max="24" width="16.7109375" bestFit="1" customWidth="1"/>
    <col min="25" max="25" width="31" bestFit="1" customWidth="1"/>
    <col min="26" max="26" width="33.28515625" bestFit="1" customWidth="1"/>
    <col min="27" max="27" width="42.7109375" bestFit="1" customWidth="1"/>
    <col min="28" max="28" width="33.5703125" bestFit="1" customWidth="1"/>
  </cols>
  <sheetData>
    <row r="1" spans="1:28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72</v>
      </c>
      <c r="Y1" t="s">
        <v>73</v>
      </c>
      <c r="Z1" t="s">
        <v>74</v>
      </c>
      <c r="AA1" t="s">
        <v>75</v>
      </c>
      <c r="AB1" t="s">
        <v>76</v>
      </c>
    </row>
    <row r="2" spans="1:28">
      <c r="A2" t="s">
        <v>40</v>
      </c>
      <c r="B2" t="s">
        <v>41</v>
      </c>
      <c r="C2" t="s">
        <v>42</v>
      </c>
      <c r="D2" t="s">
        <v>43</v>
      </c>
      <c r="E2" t="s">
        <v>33</v>
      </c>
      <c r="F2" t="s">
        <v>44</v>
      </c>
      <c r="G2" t="s">
        <v>34</v>
      </c>
      <c r="H2" t="s">
        <v>35</v>
      </c>
      <c r="I2" t="s">
        <v>45</v>
      </c>
      <c r="J2" t="s">
        <v>46</v>
      </c>
      <c r="K2" t="s">
        <v>47</v>
      </c>
      <c r="L2" t="s">
        <v>77</v>
      </c>
      <c r="M2" t="s">
        <v>48</v>
      </c>
      <c r="N2" t="s">
        <v>78</v>
      </c>
      <c r="O2" t="s">
        <v>79</v>
      </c>
      <c r="P2" t="s">
        <v>36</v>
      </c>
      <c r="Q2" t="s">
        <v>37</v>
      </c>
      <c r="R2" t="s">
        <v>80</v>
      </c>
      <c r="S2" t="s">
        <v>81</v>
      </c>
      <c r="T2" t="s">
        <v>82</v>
      </c>
      <c r="U2" t="s">
        <v>83</v>
      </c>
      <c r="V2" t="s">
        <v>84</v>
      </c>
      <c r="W2" t="s">
        <v>85</v>
      </c>
      <c r="X2" t="s">
        <v>38</v>
      </c>
      <c r="Y2" t="s">
        <v>86</v>
      </c>
      <c r="Z2" t="s">
        <v>87</v>
      </c>
      <c r="AA2" t="s">
        <v>88</v>
      </c>
      <c r="AB2" t="s">
        <v>39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74A7898-C1B1-4070-94AC-98608628E2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Formulario</vt:lpstr>
      <vt:lpstr>Unity</vt:lpstr>
      <vt:lpstr>years</vt:lpstr>
      <vt:lpstr>months</vt:lpstr>
      <vt:lpstr>labs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HERNANDEZ MAYNOR ERKS</dc:creator>
  <cp:lastModifiedBy>MARTINEZ HERNANDEZ MAYNOR ERKS</cp:lastModifiedBy>
  <dcterms:created xsi:type="dcterms:W3CDTF">2024-04-15T06:46:15Z</dcterms:created>
  <dcterms:modified xsi:type="dcterms:W3CDTF">2024-05-06T00:58:12Z</dcterms:modified>
</cp:coreProperties>
</file>